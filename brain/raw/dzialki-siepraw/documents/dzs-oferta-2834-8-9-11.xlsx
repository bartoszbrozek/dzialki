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welpernal/Desktop/PROJEKTY 2025/Siepraw 2025/"/>
    </mc:Choice>
  </mc:AlternateContent>
  <xr:revisionPtr revIDLastSave="0" documentId="13_ncr:1_{22BAE54E-2813-A548-8F50-6602F3FF470B}" xr6:coauthVersionLast="47" xr6:coauthVersionMax="47" xr10:uidLastSave="{00000000-0000-0000-0000-000000000000}"/>
  <bookViews>
    <workbookView xWindow="5480" yWindow="2400" windowWidth="27840" windowHeight="16740" xr2:uid="{C76F4B64-F62F-1D48-AA31-28303CEE2ED3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F3" i="1"/>
  <c r="E4" i="1"/>
  <c r="F4" i="1" s="1"/>
  <c r="E2" i="1"/>
  <c r="E5" i="1" l="1"/>
  <c r="F2" i="1"/>
  <c r="F5" i="1" s="1"/>
</calcChain>
</file>

<file path=xl/sharedStrings.xml><?xml version="1.0" encoding="utf-8"?>
<sst xmlns="http://schemas.openxmlformats.org/spreadsheetml/2006/main" count="13" uniqueCount="12">
  <si>
    <t>KR1Y/00091772/7</t>
  </si>
  <si>
    <t>KR1Y/00059868/1</t>
  </si>
  <si>
    <t>Nr:</t>
  </si>
  <si>
    <t>Nr KW:</t>
  </si>
  <si>
    <t>Suma:</t>
  </si>
  <si>
    <t>2834/8</t>
  </si>
  <si>
    <t>2834/9</t>
  </si>
  <si>
    <t>2834/11</t>
  </si>
  <si>
    <t>Pow. m2:</t>
  </si>
  <si>
    <t>Cena za m2 netto:</t>
  </si>
  <si>
    <t>Cena netto:</t>
  </si>
  <si>
    <t>Cena brutto: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</si>
</sst>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* #,##0.00_)\ &quot;zł&quot;_ ;_ * \(#,##0.00\)\ &quot;zł&quot;_ ;_ * &quot;-&quot;??_)\ &quot;zł&quot;_ ;_ @_ "/>
    <numFmt numFmtId="165" formatCode="_ * #,##0_)\ &quot;zł&quot;_ ;_ * \(#,##0\)\ &quot;zł&quot;_ ;_ * &quot;-&quot;??_)\ &quot;zł&quot;_ ;_ @_ "/>
  </numFmts>
  <fonts count="4" x14ac:knownFonts="1"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165" fontId="2" fillId="0" borderId="2" xfId="1" applyNumberFormat="1" applyFont="1" applyFill="1" applyBorder="1" applyAlignment="1">
      <alignment horizontal="center"/>
    </xf>
    <xf numFmtId="165" fontId="0" fillId="0" borderId="2" xfId="1" applyNumberFormat="1" applyFont="1" applyFill="1" applyBorder="1"/>
    <xf numFmtId="0" fontId="0" fillId="0" borderId="3" xfId="0" applyFill="1" applyBorder="1"/>
    <xf numFmtId="165" fontId="0" fillId="0" borderId="4" xfId="1" applyNumberFormat="1" applyFont="1" applyFill="1" applyBorder="1"/>
    <xf numFmtId="0" fontId="0" fillId="0" borderId="5" xfId="0" applyFill="1" applyBorder="1"/>
    <xf numFmtId="0" fontId="0" fillId="0" borderId="6" xfId="0" applyFill="1" applyBorder="1" applyAlignment="1">
      <alignment horizontal="center"/>
    </xf>
    <xf numFmtId="0" fontId="0" fillId="0" borderId="8" xfId="0" applyFill="1" applyBorder="1"/>
    <xf numFmtId="165" fontId="2" fillId="0" borderId="1" xfId="1" applyNumberFormat="1" applyFont="1" applyFill="1" applyBorder="1" applyAlignment="1">
      <alignment horizontal="center"/>
    </xf>
    <xf numFmtId="165" fontId="0" fillId="0" borderId="1" xfId="1" applyNumberFormat="1" applyFont="1" applyFill="1" applyBorder="1"/>
    <xf numFmtId="165" fontId="0" fillId="0" borderId="9" xfId="1" applyNumberFormat="1" applyFont="1" applyFill="1" applyBorder="1"/>
    <xf numFmtId="0" fontId="3" fillId="0" borderId="10" xfId="0" applyFont="1" applyFill="1" applyBorder="1"/>
    <xf numFmtId="0" fontId="3" fillId="0" borderId="11" xfId="0" applyFont="1" applyFill="1" applyBorder="1" applyAlignment="1">
      <alignment horizontal="center"/>
    </xf>
    <xf numFmtId="0" fontId="3" fillId="0" borderId="11" xfId="0" applyFont="1" applyFill="1" applyBorder="1"/>
    <xf numFmtId="0" fontId="3" fillId="0" borderId="12" xfId="0" applyFont="1" applyFill="1" applyBorder="1"/>
    <xf numFmtId="165" fontId="3" fillId="0" borderId="6" xfId="1" applyNumberFormat="1" applyFont="1" applyFill="1" applyBorder="1" applyAlignment="1">
      <alignment horizontal="right"/>
    </xf>
    <xf numFmtId="165" fontId="3" fillId="0" borderId="6" xfId="1" applyNumberFormat="1" applyFont="1" applyFill="1" applyBorder="1"/>
    <xf numFmtId="165" fontId="3" fillId="0" borderId="7" xfId="1" applyNumberFormat="1" applyFont="1" applyFill="1" applyBorder="1"/>
  </cellXfs>
  <cellStyles count="2">
    <cellStyle name="Normalny" xfId="0" builtinId="0"/>
    <cellStyle name="Walutow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830F1-9298-B14D-A7DD-F2DE42C09EBD}">
  <dimension ref="A1:F5"/>
  <sheetViews>
    <sheetView tabSelected="1" workbookViewId="0">
      <selection activeCell="D3" sqref="D3"/>
    </sheetView>
  </sheetViews>
  <sheetFormatPr baseColWidth="10" defaultRowHeight="16" x14ac:dyDescent="0.2"/>
  <cols>
    <col min="2" max="2" width="10.83203125" style="2"/>
    <col min="3" max="3" width="15" style="2" bestFit="1" customWidth="1"/>
    <col min="4" max="4" width="15" style="2" customWidth="1"/>
    <col min="5" max="5" width="13.5" bestFit="1" customWidth="1"/>
    <col min="6" max="6" width="14.1640625" bestFit="1" customWidth="1"/>
  </cols>
  <sheetData>
    <row r="1" spans="1:6" s="1" customFormat="1" ht="17" thickBot="1" x14ac:dyDescent="0.25">
      <c r="A1" s="15" t="s">
        <v>2</v>
      </c>
      <c r="B1" s="16" t="s">
        <v>8</v>
      </c>
      <c r="C1" s="16" t="s">
        <v>3</v>
      </c>
      <c r="D1" s="16" t="s">
        <v>9</v>
      </c>
      <c r="E1" s="17" t="s">
        <v>10</v>
      </c>
      <c r="F1" s="18" t="s">
        <v>11</v>
      </c>
    </row>
    <row r="2" spans="1:6" x14ac:dyDescent="0.2">
      <c r="A2" s="11" t="s">
        <v>5</v>
      </c>
      <c r="B2" s="3">
        <v>833</v>
      </c>
      <c r="C2" s="3" t="s">
        <v>0</v>
      </c>
      <c r="D2" s="12">
        <v>175</v>
      </c>
      <c r="E2" s="13">
        <f>B2*D2</f>
        <v>145775</v>
      </c>
      <c r="F2" s="14">
        <f>E2*1.23</f>
        <v>179303.25</v>
      </c>
    </row>
    <row r="3" spans="1:6" x14ac:dyDescent="0.2">
      <c r="A3" s="7" t="s">
        <v>6</v>
      </c>
      <c r="B3" s="4">
        <v>777</v>
      </c>
      <c r="C3" s="4" t="s">
        <v>0</v>
      </c>
      <c r="D3" s="5">
        <v>200</v>
      </c>
      <c r="E3" s="6">
        <f t="shared" ref="E3:E4" si="0">B3*D3</f>
        <v>155400</v>
      </c>
      <c r="F3" s="8">
        <f t="shared" ref="F3:F4" si="1">E3*1.23</f>
        <v>191142</v>
      </c>
    </row>
    <row r="4" spans="1:6" x14ac:dyDescent="0.2">
      <c r="A4" s="7" t="s">
        <v>7</v>
      </c>
      <c r="B4" s="4">
        <v>249</v>
      </c>
      <c r="C4" s="4" t="s">
        <v>1</v>
      </c>
      <c r="D4" s="5">
        <v>200</v>
      </c>
      <c r="E4" s="6">
        <f t="shared" si="0"/>
        <v>49800</v>
      </c>
      <c r="F4" s="8">
        <f t="shared" si="1"/>
        <v>61254</v>
      </c>
    </row>
    <row r="5" spans="1:6" ht="17" thickBot="1" x14ac:dyDescent="0.25">
      <c r="A5" s="9"/>
      <c r="B5" s="10"/>
      <c r="C5" s="10"/>
      <c r="D5" s="19" t="s">
        <v>4</v>
      </c>
      <c r="E5" s="20">
        <f>SUM(E2:E4)</f>
        <v>350975</v>
      </c>
      <c r="F5" s="21">
        <f>SUM(F2:F4)</f>
        <v>431699.25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Paweł Pernal</dc:creator>
  <cp:lastModifiedBy>Paweł Pernal</cp:lastModifiedBy>
  <dcterms:created xsi:type="dcterms:W3CDTF">2026-10-21T08:15:47Z</dcterms:created>
  <dcterms:modified xsi:type="dcterms:W3CDTF">2026-10-21T08:23:02Z</dcterms:modified>
</cp:coreProperties>
</file>